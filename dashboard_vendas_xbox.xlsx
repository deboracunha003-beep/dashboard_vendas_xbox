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8_{5238C49B-31A8-4E07-A887-55C4A86135A3}" xr6:coauthVersionLast="47" xr6:coauthVersionMax="47" xr10:uidLastSave="{00000000-0000-0000-0000-000000000000}"/>
  <bookViews>
    <workbookView xWindow="-96" yWindow="0" windowWidth="19308" windowHeight="12336" tabRatio="318" firstSheet="1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3" l="1"/>
  <c r="E34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<sst xmlns="http://schemas.openxmlformats.org/spreadsheetml/2006/main" count="2023" uniqueCount="325">
  <si>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</si>
  <si>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</si>
  <si>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</si>
  <si>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</si>
  <si>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</si>
  <si>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</si>
  <si>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</si>
  <si>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</si>
  <si>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</si>
  <si>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</si>
  <si>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</si>
  <si>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</si>
  <si>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</si>
  <si>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</si>
  <si>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</si>
  <si>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</si>
  <si>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</si>
  <si>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</si>
  <si>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</si>
  <si>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</si>
  <si>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</si>
  <si>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</si>
  <si>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</si>
  <si>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</si>
  <si>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</si>
  <si>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</si>
  <si>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</si>
  <si>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</si>
  <si>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</si>
  <si>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</si>
  <si>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</si>
  <si>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</si>
  <si>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</si>
  <si>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</si>
  <si>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</si>
  <si>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</si>
  <si>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</si>
  <si>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</si>
  <si>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</si>
  <si>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</si>
  <si>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</si>
  <si>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</si>
  <si>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</si>
  <si>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</si>
  <si>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</si>
  <si>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</si>
  <si>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</si>
  <si>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</si>
  <si>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</si>
  <si>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</si>
  <si>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</si>
  <si>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</si>
  <si>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</si>
  <si>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</si>
  <si>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</si>
  <si>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</si>
  <si>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</si>
  <si>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</si>
  <si>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</si>
  <si>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</si>
  <si>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</si>
  <si>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</si>
  <si>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</si>
  <si>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</si>
  <si>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</si>
  <si>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</si>
  <si>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</si>
  <si>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</si>
  <si>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</si>
  <si>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</si>
  <si>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</si>
  <si>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</si>
  <si>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</si>
  <si>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</si>
  <si>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</si>
  <si>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</si>
  <si>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</si>
  <si>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</si>
  <si>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</si>
  <si>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</si>
  <si>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</si>
  <si>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</si>
  <si>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</si>
  <si>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</si>
  <si>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</si>
  <si>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</si>
  <si>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</si>
  <si>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</si>
  <si>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</si>
  <si>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</si>
  <si>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</si>
  <si>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</si>
  <si>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</si>
  <si>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</si>
  <si>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</si>
  <si>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</si>
  <si>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</si>
  <si>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</si>
  <si>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</si>
  <si>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</si>
  <si>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</si>
  <si>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</si>
  <si>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</si>
  <si>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</si>
  <si>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</si>
  <si>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</si>
  <si>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</si>
  <si>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</si>
  <si>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</si>
  <si>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</si>
  <si>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</si>
  <si>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</si>
  <si>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</si>
  <si>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</si>
  <si>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</si>
  <si>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</si>
  <si>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</si>
  <si>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</si>
  <si>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</si>
  <si>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</si>
  <si>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</si>
  <si>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</si>
  <si>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</si>
  <si>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</si>
  <si>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</si>
  <si>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</si>
  <si>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</si>
  <si>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</si>
  <si>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</si>
  <si>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</si>
  <si>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</si>
  <si>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</si>
  <si>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</si>
  <si>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</si>
  <si>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</si>
  <si>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</si>
  <si>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</si>
  <si>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</si>
  <si>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</si>
  <si>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</si>
  <si>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</si>
  <si>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</si>
  <si>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</si>
  <si>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</si>
  <si>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</si>
  <si>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</si>
  <si>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</si>
  <si>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</si>
  <si>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</si>
  <si>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</si>
  <si>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</si>
  <si>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</si>
  <si>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</si>
  <si>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</si>
  <si>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</si>
  <si>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</si>
  <si>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</si>
  <si>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</si>
  <si>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</si>
  <si>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</si>
  <si>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</si>
  <si>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</si>
  <si>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</si>
  <si>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</si>
  <si>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</si>
  <si>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</si>
  <si>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</si>
  <si>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</si>
  <si>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</si>
  <si>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</si>
  <si>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</si>
  <si>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</si>
  <si>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</si>
  <si>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</si>
  <si>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</si>
  <si>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</si>
  <si>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</si>
  <si>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</si>
  <si>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</si>
  <si>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</si>
  <si>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</si>
  <si>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</si>
  <si>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</si>
  <si>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</si>
  <si>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</si>
  <si>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</si>
  <si>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</si>
  <si>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</si>
  <si>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</si>
  <si>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</si>
  <si>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</si>
  <si>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</si>
  <si>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</si>
  <si>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</si>
  <si>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</si>
  <si>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</si>
  <si>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</si>
  <si>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</si>
  <si>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</si>
  <si>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</si>
  <si>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</si>
  <si>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</si>
  <si>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</si>
  <si>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</si>
  <si>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</si>
  <si>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</si>
  <si>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</si>
  <si>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</si>
  <si>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</si>
  <si>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</si>
  <si>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</si>
  <si>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</si>
  <si>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</si>
  <si>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</si>
  <si>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</si>
  <si>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</si>
  <si>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</si>
  <si>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</si>
  <si>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</si>
  <si>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</si>
  <si>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</si>
  <si>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</si>
  <si>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</si>
  <si>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</si>
  <si>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</si>
  <si>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</si>
  <si>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</si>
  <si>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</si>
  <si>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</si>
  <si>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</si>
  <si>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</si>
  <si>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</si>
  <si>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</si>
  <si>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</si>
  <si>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</si>
  <si>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</si>
  <si>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</si>
  <si>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</si>
  <si>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</si>
  <si>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</si>
  <si>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</si>
  <si>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</si>
  <si>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</si>
  <si>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</si>
  <si>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</si>
  <si>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</si>
  <si>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</si>
  <si>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</si>
  <si>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</si>
  <si>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</si>
  <si>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</si>
  <si>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</si>
  <si>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</si>
  <si>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</si>
  <si>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</si>
  <si>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</si>
  <si>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</si>
  <si>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</si>
  <si>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</si>
  <si>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</si>
  <si>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</si>
  <si>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</si>
  <si>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</si>
  <si>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</si>
  <si>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</si>
  <si>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</si>
  <si>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</si>
  <si>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</si>
  <si>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</si>
  <si>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</si>
  <si>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</si>
  <si>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</si>
  <si>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</si>
  <si>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</si>
  <si>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</si>
  <si>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</si>
  <si>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</si>
  <si>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</si>
  <si>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</si>
  <si>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</si>
  <si>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</si>
  <si>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</si>
  <si>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</si>
  <si>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</si>
  <si>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</si>
  <si>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</si>
  <si>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</si>
  <si>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</si>
  <si>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</si>
  <si>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</si>
  <si>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</si>
  <si>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</si>
  <si>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</si>
  <si>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</si>
  <si>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</si>
  <si>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</si>
  <si>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</si>
  <si>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</si>
  <si>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</si>
  <si>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</si>
  <si>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</si>
  <si>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</si>
  <si>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</si>
  <si>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</si>
  <si>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</si>
  <si>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</si>
  <si>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</si>
  <si>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</si>
  <si>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</si>
  <si>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</si>
  <si>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</si>
  <si>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</si>
  <si>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</si>
  <si>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É uma pergunta de negócio respondida através de alguma analise de dados especificas </t>
  </si>
  <si>
    <t>Rótulos de Linha</t>
  </si>
  <si>
    <t>Total Geral</t>
  </si>
  <si>
    <t>Soma de Total Value</t>
  </si>
  <si>
    <r>
      <t>Pergunta de Negócio 2: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annuais</t>
    </r>
    <r>
      <rPr>
        <sz val="11"/>
        <color theme="1"/>
        <rFont val="Aptos Narrow"/>
        <family val="2"/>
        <scheme val="minor"/>
      </rPr>
      <t>. Separados por auto renovação ou não é por auto renovação</t>
    </r>
  </si>
  <si>
    <r>
      <t xml:space="preserve">Pergunta de Negócio 1: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</si>
  <si>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EA Play Season Pass</t>
  </si>
  <si>
    <t xml:space="preserve">Pergunta de Negócio 3: Total de Vendas de Ae Pay </t>
  </si>
  <si>
    <t xml:space="preserve">Pergunta de Negócio 4: Total de Vendas de Assinaturas do Minecraft Season Pass </t>
  </si>
  <si>
    <t>Soma de Minecraft Season Pass Price</t>
  </si>
  <si>
    <t>XBOX GAME PASS SUBSCRIPTIONS SALES</t>
  </si>
  <si>
    <t>––––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</si>
</sst>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sz val="11"/>
      <color rgb="FF22C55E"/>
      <name val="Aptos Narrow"/>
      <family val="2"/>
      <scheme val="minor"/>
    </font>
    <font>
      <b/>
      <sz val="16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3" fillId="0" borderId="0" xfId="0" applyFont="1"/>
    <xf numFmtId="0" fontId="0" fillId="0" borderId="0" xfId="0" applyFill="1"/>
    <xf numFmtId="0" fontId="5" fillId="0" borderId="2" xfId="1" applyFont="1" applyFill="1" applyBorder="1"/>
    <xf numFmtId="0" fontId="6" fillId="5" borderId="0" xfId="0" applyFont="1" applyFill="1"/>
    <xf numFmtId="44" fontId="0" fillId="0" borderId="0" xfId="2" applyFont="1"/>
    <xf numFmtId="44" fontId="0" fillId="0" borderId="0" xfId="0" applyNumberFormat="1" applyAlignment="1">
      <alignment horizontal="right"/>
    </xf>
    <xf numFmtId="0" fontId="4" fillId="8" borderId="0" xfId="3" applyAlignment="1">
      <alignment horizontal="center"/>
    </xf>
    <xf numFmtId="0" fontId="7" fillId="0" borderId="2" xfId="1" applyFont="1" applyFill="1" applyBorder="1" applyAlignment="1">
      <alignment horizontal="left" indent="6"/>
    </xf>
    <xf numFmtId="0" fontId="7" fillId="0" borderId="2" xfId="1" applyFont="1" applyFill="1" applyBorder="1" applyAlignment="1">
      <alignment horizontal="left"/>
    </xf>
    <xf numFmtId="0" fontId="7" fillId="0" borderId="2" xfId="1" applyFont="1" applyFill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62">
    <dxf>
      <numFmt numFmtId="164" formatCode="&quot;R$&quot;\ #,##0.00"/>
    </dxf>
    <dxf>
      <numFmt numFmtId="164" formatCode="&quot;R$&quot;\ #,##0.00"/>
    </dxf>
    <dxf>
      <alignment vertical="bottom"/>
    </dxf>
    <dxf>
      <alignment vertical="bottom"/>
    </dxf>
    <dxf>
      <alignment horizontal="right"/>
    </dxf>
    <dxf>
      <alignment horizontal="right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alignment vertical="bottom"/>
    </dxf>
    <dxf>
      <alignment vertical="bottom"/>
    </dxf>
    <dxf>
      <alignment horizontal="right"/>
    </dxf>
    <dxf>
      <alignment horizontal="right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alignment vertical="bottom"/>
    </dxf>
    <dxf>
      <alignment vertical="bottom"/>
    </dxf>
    <dxf>
      <alignment horizontal="right"/>
    </dxf>
    <dxf>
      <alignment horizontal="right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right"/>
    </dxf>
    <dxf>
      <alignment horizontal="right"/>
    </dxf>
    <dxf>
      <alignment vertical="bottom"/>
    </dxf>
    <dxf>
      <alignment vertical="bottom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right"/>
    </dxf>
    <dxf>
      <alignment horizontal="right"/>
    </dxf>
    <dxf>
      <alignment vertical="bottom"/>
    </dxf>
    <dxf>
      <alignment vertical="bottom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right"/>
    </dxf>
    <dxf>
      <alignment horizontal="right"/>
    </dxf>
    <dxf>
      <alignment vertical="bottom"/>
    </dxf>
    <dxf>
      <alignment vertical="bottom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1"/>
      </font>
      <border>
        <bottom style="thin">
          <color theme="9"/>
        </bottom>
        <vertical/>
        <horizontal/>
      </border>
    </dxf>
    <dxf>
      <font>
        <color rgb="FF2AE6B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2AE6B1"/>
        </patternFill>
      </fill>
      <border>
        <bottom style="thin">
          <color theme="9"/>
        </bottom>
        <vertical/>
        <horizontal/>
      </border>
    </dxf>
    <dxf>
      <font>
        <color rgb="FF2AE6B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46776868-110E-4F40-B77E-18A0AB721E2F}">
      <tableStyleElement type="wholeTable" dxfId="61"/>
      <tableStyleElement type="headerRow" dxfId="60"/>
    </tableStyle>
    <tableStyle name="SlicerStyleLight6 2 2" pivot="0" table="0" count="10" xr9:uid="{B5DF8368-3175-4E2D-AC9B-47F66D3B1A33}">
      <tableStyleElement type="wholeTable" dxfId="59"/>
      <tableStyleElement type="headerRow" dxfId="58"/>
    </tableStyle>
  </tableStyles>
  <colors>
    <mruColors>
      <color rgb="FF22C55E"/>
      <color rgb="FFE8E6E9"/>
      <color rgb="FF2AE6B1"/>
      <color rgb="FF5BF6A8"/>
      <color rgb="FFE0E0E0"/>
      <color rgb="FF00000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[dashboard_vendas_xbox.xlsx]C̳álculos!tbl_annual_total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>
                    <a:noFill/>
                  </a:ln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AE6B1"/>
          </a:solidFill>
          <a:ln>
            <a:noFill/>
          </a:ln>
          <a:effectLst/>
        </c:spPr>
      </c:pivotFmt>
      <c:pivotFmt>
        <c:idx val="11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0331429230245278E-2"/>
          <c:y val="0.2202254752731494"/>
          <c:w val="0.83249030439607363"/>
          <c:h val="0.570965433906311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581-4027-A9BE-CEEEBE7038B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581-4027-A9BE-CEEEBE7038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>
                      <a:noFill/>
                    </a:ln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81-4027-A9BE-CEEEBE703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37856"/>
        <c:axId val="118132096"/>
      </c:barChart>
      <c:catAx>
        <c:axId val="11813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ln>
                  <a:noFill/>
                </a:ln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132096"/>
        <c:crosses val="autoZero"/>
        <c:auto val="1"/>
        <c:lblAlgn val="ctr"/>
        <c:lblOffset val="100"/>
        <c:noMultiLvlLbl val="0"/>
      </c:catAx>
      <c:valAx>
        <c:axId val="1181320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813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ln>
            <a:noFill/>
          </a:ln>
          <a:solidFill>
            <a:srgbClr val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38099</xdr:colOff>
      <xdr:row>0</xdr:row>
      <xdr:rowOff>133350</xdr:rowOff>
    </xdr:from>
    <xdr:to>
      <xdr:col>2</xdr:col>
      <xdr:colOff>352424</xdr:colOff>
      <xdr:row>2</xdr:row>
      <xdr:rowOff>212236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BE8226-E7A0-47B8-B475-44F060561E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2727" b="9615"/>
        <a:stretch/>
      </xdr:blipFill>
      <xdr:spPr>
        <a:xfrm>
          <a:off x="1276349" y="133350"/>
          <a:ext cx="600075" cy="6313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120016</xdr:rowOff>
    </xdr:from>
    <xdr:to>
      <xdr:col>0</xdr:col>
      <xdr:colOff>1209675</xdr:colOff>
      <xdr:row>16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9EF3E6D3-E268-4BAE-96B7-647E049F72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53516"/>
              <a:ext cx="1209675" cy="19183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247650</xdr:colOff>
      <xdr:row>5</xdr:row>
      <xdr:rowOff>57147</xdr:rowOff>
    </xdr:from>
    <xdr:to>
      <xdr:col>7</xdr:col>
      <xdr:colOff>76200</xdr:colOff>
      <xdr:row>10</xdr:row>
      <xdr:rowOff>8468</xdr:rowOff>
    </xdr:to>
    <xdr:sp macro="" textlink="D̳ashboard!$E$21">
      <xdr:nvSpPr>
        <xdr:cNvPr id="15" name="Retângulo: Cantos Arredondados 14">
          <a:extLst>
            <a:ext uri="{FF2B5EF4-FFF2-40B4-BE49-F238E27FC236}">
              <a16:creationId xmlns:a16="http://schemas.microsoft.com/office/drawing/2014/main" id="{D3B343A8-5F50-EE3F-85F3-2187FB8A1380}"/>
            </a:ext>
          </a:extLst>
        </xdr:cNvPr>
        <xdr:cNvSpPr/>
      </xdr:nvSpPr>
      <xdr:spPr>
        <a:xfrm>
          <a:off x="1485900" y="1133472"/>
          <a:ext cx="3162300" cy="989546"/>
        </a:xfrm>
        <a:prstGeom prst="roundRect">
          <a:avLst>
            <a:gd name="adj" fmla="val 980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0ACDB65-027B-4E84-AD89-71752073004B}" type="TxLink">
            <a:rPr lang="en-US" sz="1100" b="0" i="0" u="none" strike="noStrike">
              <a:ln>
                <a:noFill/>
              </a:ln>
              <a:noFill/>
              <a:latin typeface="Aptos Narrow"/>
            </a:rPr>
            <a:pPr algn="l"/>
            <a:t> </a:t>
          </a:fld>
          <a:endParaRPr lang="pt-BR" sz="1100">
            <a:ln>
              <a:noFill/>
            </a:ln>
            <a:noFill/>
          </a:endParaRPr>
        </a:p>
      </xdr:txBody>
    </xdr:sp>
    <xdr:clientData/>
  </xdr:twoCellAnchor>
  <xdr:twoCellAnchor>
    <xdr:from>
      <xdr:col>1</xdr:col>
      <xdr:colOff>247650</xdr:colOff>
      <xdr:row>5</xdr:row>
      <xdr:rowOff>47625</xdr:rowOff>
    </xdr:from>
    <xdr:to>
      <xdr:col>7</xdr:col>
      <xdr:colOff>76200</xdr:colOff>
      <xdr:row>9</xdr:row>
      <xdr:rowOff>180974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F4239FFB-6DC0-3C71-EFE9-82C08EDCD104}"/>
            </a:ext>
          </a:extLst>
        </xdr:cNvPr>
        <xdr:cNvGrpSpPr/>
      </xdr:nvGrpSpPr>
      <xdr:grpSpPr>
        <a:xfrm>
          <a:off x="1485900" y="1123950"/>
          <a:ext cx="3162300" cy="990599"/>
          <a:chOff x="1504950" y="1133476"/>
          <a:chExt cx="2905125" cy="990599"/>
        </a:xfrm>
      </xdr:grpSpPr>
      <xdr:sp macro="" textlink="C̳álculos!E21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AA273B2E-08A0-3023-319F-9D235BFC75CB}"/>
              </a:ext>
            </a:extLst>
          </xdr:cNvPr>
          <xdr:cNvSpPr/>
        </xdr:nvSpPr>
        <xdr:spPr>
          <a:xfrm>
            <a:off x="2019300" y="1524000"/>
            <a:ext cx="2171700" cy="514350"/>
          </a:xfrm>
          <a:prstGeom prst="roundRect">
            <a:avLst>
              <a:gd name="adj" fmla="val 7712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34B63E9-B82B-437B-AA3D-F327C491494A}" type="TxLink">
              <a:rPr lang="en-US" sz="2400" b="0" i="0" u="none" strike="noStrike">
                <a:solidFill>
                  <a:srgbClr val="5BF6A8"/>
                </a:solidFill>
                <a:latin typeface="Aptos Narrow"/>
              </a:rPr>
              <a:pPr algn="ctr"/>
              <a:t> R$ 600,00 </a:t>
            </a:fld>
            <a:endParaRPr lang="en-US" sz="2400">
              <a:solidFill>
                <a:srgbClr val="5BF6A8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8A1C8AB5-8EC6-4FCC-A2EE-59ED44EA6A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81149" y="1438275"/>
            <a:ext cx="790576" cy="685800"/>
          </a:xfrm>
          <a:prstGeom prst="rect">
            <a:avLst/>
          </a:prstGeom>
        </xdr:spPr>
      </xdr:pic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2B933F1B-8B14-FC70-55EF-2E2C2E84A432}"/>
              </a:ext>
            </a:extLst>
          </xdr:cNvPr>
          <xdr:cNvSpPr/>
        </xdr:nvSpPr>
        <xdr:spPr>
          <a:xfrm>
            <a:off x="1504950" y="1133476"/>
            <a:ext cx="2905125" cy="314324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0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 BUSCRIPTIONS  EA PLAY SEASON </a:t>
            </a:r>
            <a:r>
              <a:rPr lang="pt-BR" sz="1000" b="1" baseline="0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PASS</a:t>
            </a:r>
            <a:endParaRPr lang="pt-BR" sz="100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571500</xdr:colOff>
      <xdr:row>5</xdr:row>
      <xdr:rowOff>57147</xdr:rowOff>
    </xdr:from>
    <xdr:to>
      <xdr:col>13</xdr:col>
      <xdr:colOff>381000</xdr:colOff>
      <xdr:row>10</xdr:row>
      <xdr:rowOff>66676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294A0CE9-E723-84FF-B938-7377DA80D2F1}"/>
            </a:ext>
          </a:extLst>
        </xdr:cNvPr>
        <xdr:cNvGrpSpPr/>
      </xdr:nvGrpSpPr>
      <xdr:grpSpPr>
        <a:xfrm>
          <a:off x="5143500" y="1133472"/>
          <a:ext cx="3305175" cy="1047754"/>
          <a:chOff x="5133975" y="1076325"/>
          <a:chExt cx="2886075" cy="1076324"/>
        </a:xfrm>
      </xdr:grpSpPr>
      <xdr:sp macro="" textlink="D̳ashboard!$E$21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A912102B-CFBB-4F5A-8FA2-046FAC2ED634}"/>
              </a:ext>
            </a:extLst>
          </xdr:cNvPr>
          <xdr:cNvSpPr/>
        </xdr:nvSpPr>
        <xdr:spPr>
          <a:xfrm>
            <a:off x="5143500" y="1104900"/>
            <a:ext cx="2876550" cy="971550"/>
          </a:xfrm>
          <a:prstGeom prst="roundRect">
            <a:avLst>
              <a:gd name="adj" fmla="val 980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70ACDB65-027B-4E84-AD89-71752073004B}" type="TxLink">
              <a:rPr lang="en-US" sz="1100" b="0" i="0" u="none" strike="noStrike">
                <a:ln>
                  <a:noFill/>
                </a:ln>
                <a:noFill/>
                <a:latin typeface="Aptos Narrow"/>
              </a:rPr>
              <a:pPr algn="l"/>
              <a:t> </a:t>
            </a:fld>
            <a:endParaRPr lang="pt-BR" sz="1100">
              <a:ln>
                <a:noFill/>
              </a:ln>
              <a:noFill/>
            </a:endParaRPr>
          </a:p>
        </xdr:txBody>
      </xdr: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61F7D6F7-092C-48AA-AAA0-E48E7C6B76D2}"/>
              </a:ext>
            </a:extLst>
          </xdr:cNvPr>
          <xdr:cNvGrpSpPr/>
        </xdr:nvGrpSpPr>
        <xdr:grpSpPr>
          <a:xfrm>
            <a:off x="5133975" y="1076325"/>
            <a:ext cx="2886075" cy="1076324"/>
            <a:chOff x="1514475" y="1104901"/>
            <a:chExt cx="2886075" cy="1076324"/>
          </a:xfrm>
        </xdr:grpSpPr>
        <xdr:sp macro="" textlink="C̳álculos!E34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48C3C132-4599-0291-142B-83DB479D7060}"/>
                </a:ext>
              </a:extLst>
            </xdr:cNvPr>
            <xdr:cNvSpPr/>
          </xdr:nvSpPr>
          <xdr:spPr>
            <a:xfrm>
              <a:off x="2076450" y="1543050"/>
              <a:ext cx="2066925" cy="638175"/>
            </a:xfrm>
            <a:prstGeom prst="roundRect">
              <a:avLst>
                <a:gd name="adj" fmla="val 7712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21BF80ED-DEEB-4444-BB90-165283EBA435}" type="TxLink">
                <a:rPr lang="en-US" sz="2400" b="0" i="0" u="none" strike="noStrike">
                  <a:solidFill>
                    <a:srgbClr val="5BF6A8"/>
                  </a:solidFill>
                  <a:latin typeface="Aptos Narrow"/>
                </a:rPr>
                <a:pPr algn="ctr"/>
                <a:t> R$ 940,00 </a:t>
              </a:fld>
              <a:endParaRPr lang="en-US" sz="4800"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30" name="Retângulo: Cantos Superiores Arredondados 29">
              <a:extLst>
                <a:ext uri="{FF2B5EF4-FFF2-40B4-BE49-F238E27FC236}">
                  <a16:creationId xmlns:a16="http://schemas.microsoft.com/office/drawing/2014/main" id="{DA482E52-1EB0-A3F9-CD64-CD57A9808605}"/>
                </a:ext>
              </a:extLst>
            </xdr:cNvPr>
            <xdr:cNvSpPr/>
          </xdr:nvSpPr>
          <xdr:spPr>
            <a:xfrm>
              <a:off x="1514475" y="1104901"/>
              <a:ext cx="2886075" cy="314324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l"/>
              <a:r>
                <a:rPr lang="pt-BR" sz="1000" b="1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 BUSCRIPTIONS  MINECRAFT</a:t>
              </a:r>
              <a:r>
                <a:rPr lang="pt-BR" sz="1600" b="1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000" b="1" baseline="0">
                  <a:ln>
                    <a:noFill/>
                  </a:ln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  <a:endParaRPr lang="pt-BR" sz="12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7</xdr:col>
      <xdr:colOff>600075</xdr:colOff>
      <xdr:row>7</xdr:row>
      <xdr:rowOff>180975</xdr:rowOff>
    </xdr:from>
    <xdr:to>
      <xdr:col>9</xdr:col>
      <xdr:colOff>219075</xdr:colOff>
      <xdr:row>9</xdr:row>
      <xdr:rowOff>0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F6FE5AC9-DBAF-40E1-92D5-E9FAE0E7DF60}"/>
            </a:ext>
          </a:extLst>
        </xdr:cNvPr>
        <xdr:cNvGrpSpPr/>
      </xdr:nvGrpSpPr>
      <xdr:grpSpPr>
        <a:xfrm>
          <a:off x="5172075" y="1514475"/>
          <a:ext cx="838200" cy="419100"/>
          <a:chOff x="3495675" y="5400674"/>
          <a:chExt cx="1549476" cy="752476"/>
        </a:xfrm>
      </xdr:grpSpPr>
      <xdr:pic>
        <xdr:nvPicPr>
          <xdr:cNvPr id="37" name="Imagem 36">
            <a:extLst>
              <a:ext uri="{FF2B5EF4-FFF2-40B4-BE49-F238E27FC236}">
                <a16:creationId xmlns:a16="http://schemas.microsoft.com/office/drawing/2014/main" id="{FCF89283-6A5F-2893-B8E8-4073AB10D6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38" name="Gráfico 37">
            <a:extLst>
              <a:ext uri="{FF2B5EF4-FFF2-40B4-BE49-F238E27FC236}">
                <a16:creationId xmlns:a16="http://schemas.microsoft.com/office/drawing/2014/main" id="{0405AC45-7148-5DA9-EE1D-C805E392EA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209513</xdr:colOff>
      <xdr:row>11</xdr:row>
      <xdr:rowOff>95250</xdr:rowOff>
    </xdr:from>
    <xdr:to>
      <xdr:col>14</xdr:col>
      <xdr:colOff>1418</xdr:colOff>
      <xdr:row>24</xdr:row>
      <xdr:rowOff>104775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01C4DBED-0E21-D46E-0915-89BB7773B564}"/>
            </a:ext>
          </a:extLst>
        </xdr:cNvPr>
        <xdr:cNvGrpSpPr/>
      </xdr:nvGrpSpPr>
      <xdr:grpSpPr>
        <a:xfrm>
          <a:off x="1447763" y="2419350"/>
          <a:ext cx="7011855" cy="2362200"/>
          <a:chOff x="1495426" y="2333625"/>
          <a:chExt cx="7019924" cy="2362200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D93F962E-C9A1-4163-BE86-2ED38AFB5918}"/>
              </a:ext>
            </a:extLst>
          </xdr:cNvPr>
          <xdr:cNvGrpSpPr/>
        </xdr:nvGrpSpPr>
        <xdr:grpSpPr>
          <a:xfrm>
            <a:off x="1495463" y="2400300"/>
            <a:ext cx="7019887" cy="2295525"/>
            <a:chOff x="1676417" y="1044829"/>
            <a:chExt cx="3118890" cy="1943553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1F007902-0DEE-2EF3-7910-999AE29B1835}"/>
                </a:ext>
              </a:extLst>
            </xdr:cNvPr>
            <xdr:cNvSpPr/>
          </xdr:nvSpPr>
          <xdr:spPr>
            <a:xfrm>
              <a:off x="1676417" y="1044829"/>
              <a:ext cx="3118890" cy="1933575"/>
            </a:xfrm>
            <a:prstGeom prst="roundRect">
              <a:avLst>
                <a:gd name="adj" fmla="val 471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2800">
                <a:solidFill>
                  <a:schemeClr val="bg2"/>
                </a:solidFill>
              </a:endParaRPr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A6F2002-ABFC-40D6-92EB-314D57018BD3}"/>
                </a:ext>
              </a:extLst>
            </xdr:cNvPr>
            <xdr:cNvGraphicFramePr>
              <a:graphicFrameLocks/>
            </xdr:cNvGraphicFramePr>
          </xdr:nvGraphicFramePr>
          <xdr:xfrm>
            <a:off x="1749212" y="1113862"/>
            <a:ext cx="2961457" cy="18745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1E92DB29-D35D-4B29-A7A3-4B9142BAC7C8}"/>
              </a:ext>
            </a:extLst>
          </xdr:cNvPr>
          <xdr:cNvSpPr/>
        </xdr:nvSpPr>
        <xdr:spPr>
          <a:xfrm>
            <a:off x="1495426" y="2333625"/>
            <a:ext cx="7019924" cy="409575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4" algn="l"/>
            <a:r>
              <a:rPr lang="pt-BR" sz="1000" b="1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 BUSCRIPTIONS  XBOX</a:t>
            </a:r>
            <a:r>
              <a:rPr lang="pt-BR" sz="1000" b="1" baseline="0">
                <a:ln>
                  <a:noFill/>
                </a:ln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000" b="1">
              <a:ln>
                <a:noFill/>
              </a:ln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285750</xdr:colOff>
      <xdr:row>0</xdr:row>
      <xdr:rowOff>161925</xdr:rowOff>
    </xdr:from>
    <xdr:to>
      <xdr:col>0</xdr:col>
      <xdr:colOff>876300</xdr:colOff>
      <xdr:row>2</xdr:row>
      <xdr:rowOff>190500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9ABE9705-7742-4F75-9491-9BF755532A1D}"/>
            </a:ext>
          </a:extLst>
        </xdr:cNvPr>
        <xdr:cNvSpPr/>
      </xdr:nvSpPr>
      <xdr:spPr>
        <a:xfrm>
          <a:off x="285750" y="161925"/>
          <a:ext cx="590550" cy="5810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95250</xdr:colOff>
      <xdr:row>3</xdr:row>
      <xdr:rowOff>142875</xdr:rowOff>
    </xdr:from>
    <xdr:to>
      <xdr:col>0</xdr:col>
      <xdr:colOff>1162050</xdr:colOff>
      <xdr:row>6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76E158A-3127-D911-1354-F5B8E2A2AB7B}"/>
            </a:ext>
          </a:extLst>
        </xdr:cNvPr>
        <xdr:cNvSpPr/>
      </xdr:nvSpPr>
      <xdr:spPr>
        <a:xfrm>
          <a:off x="95250" y="914400"/>
          <a:ext cx="1066800" cy="2952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 b="1">
              <a:solidFill>
                <a:schemeClr val="accent1">
                  <a:lumMod val="50000"/>
                </a:schemeClr>
              </a:solidFill>
            </a:rPr>
            <a:t>&gt;BEM VINDA,</a:t>
          </a:r>
          <a:r>
            <a:rPr lang="pt-BR" sz="900" b="1" baseline="0">
              <a:solidFill>
                <a:schemeClr val="accent1">
                  <a:lumMod val="50000"/>
                </a:schemeClr>
              </a:solidFill>
            </a:rPr>
            <a:t> BIA</a:t>
          </a:r>
          <a:endParaRPr lang="pt-BR" sz="105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209549</xdr:colOff>
      <xdr:row>3</xdr:row>
      <xdr:rowOff>57150</xdr:rowOff>
    </xdr:from>
    <xdr:to>
      <xdr:col>13</xdr:col>
      <xdr:colOff>381000</xdr:colOff>
      <xdr:row>5</xdr:row>
      <xdr:rowOff>28575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A80D6CA0-72C0-4063-B8BD-80385ADBCA3D}"/>
            </a:ext>
          </a:extLst>
        </xdr:cNvPr>
        <xdr:cNvSpPr/>
      </xdr:nvSpPr>
      <xdr:spPr>
        <a:xfrm>
          <a:off x="1447799" y="828675"/>
          <a:ext cx="7000876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800" b="0" baseline="0">
              <a:solidFill>
                <a:schemeClr val="tx1">
                  <a:lumMod val="65000"/>
                  <a:lumOff val="35000"/>
                </a:schemeClr>
              </a:solidFill>
            </a:rPr>
            <a:t>Calculation period: 01/01/2024 - 31/12/2024 | Update date: 25/12/2024 09:00:00</a:t>
          </a:r>
          <a:endParaRPr lang="pt-BR" sz="1000" b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ora cunha" refreshedDate="46050.653640393517" createdVersion="8" refreshedVersion="8" minRefreshableVersion="3" recordCount="295" xr:uid="{0C9D46BD-F72A-42AE-9DA6-8B2CDB5A37B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2490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EFFC3-7BE0-485B-929D-1EB9C26E25A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formats count="7"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9A8C8-ECCD-4D22-A83A-8023AD9FF408}" name="tbl_EA_season_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0" baseItem="0" numFmtId="44"/>
  </dataFields>
  <formats count="7"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outline="0" collapsedLevelsAreSubtotals="1" fieldPosition="0"/>
    </format>
    <format dxfId="32">
      <pivotArea dataOnly="0" labelOnly="1" outline="0" axis="axisValues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4CE09-A83E-4A8B-9F01-D3C20F7D14F2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9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formats count="8"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</formats>
  <chartFormats count="9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BC5E6D3-0B2E-4E55-8973-4BC870F43F3C}" sourceName="Subscription Type">
  <pivotTables>
    <pivotTable tabId="3" name="tbl_annual_total"/>
    <pivotTable tabId="3" name="tbl_EA_season_pass_total"/>
    <pivotTable tabId="3" name="Tabela dinâmica3"/>
  </pivotTables>
  <data>
    <tabular pivotCacheId="924904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4671CB23-81EC-4769-BBA7-79BE0BBE2686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56"/>
    <tableColumn id="2" xr3:uid="{53DD39D0-2220-4121-9E9D-4EAA7E151C0F}" name="Name" dataDxfId="55"/>
    <tableColumn id="3" xr3:uid="{4F5FF271-4C57-4BE0-8F2C-F82C8551625C}" name="Plan" dataDxfId="54"/>
    <tableColumn id="4" xr3:uid="{8C17EB93-79B9-4E55-B8F7-BEB82F8253E9}" name="Start Date" dataDxfId="53"/>
    <tableColumn id="5" xr3:uid="{48CEDF9B-1689-482A-A828-5CCE7713264A}" name="Auto Renewal" dataDxfId="52"/>
    <tableColumn id="6" xr3:uid="{78B82374-9AA7-4E38-AE4F-78CDE6C83720}" name="Subscription Price" dataDxfId="51" dataCellStyle="Moeda"/>
    <tableColumn id="7" xr3:uid="{F2433F68-AF33-49D0-B1FB-19A396074EDE}" name="Subscription Type" dataDxfId="50"/>
    <tableColumn id="8" xr3:uid="{FD4D9C95-F6E5-4933-9068-A71FF7DF9343}" name="EA Play Season Pass" dataDxfId="49"/>
    <tableColumn id="13" xr3:uid="{978DD0D2-834E-4CE4-A39B-30976086932F}" name="EA Play Season Pass_x000a_Price" dataDxfId="48" dataCellStyle="Moeda"/>
    <tableColumn id="9" xr3:uid="{6E29F111-C395-4580-9DAD-3407D9E8B1A4}" name="Minecraft Season Pass" dataDxfId="47"/>
    <tableColumn id="10" xr3:uid="{EF544EAA-7F25-4FD5-A10E-8E62804DB9E3}" name="Minecraft Season Pass Price" dataDxfId="46" dataCellStyle="Moeda"/>
    <tableColumn id="11" xr3:uid="{7F6EB64A-1F07-4E48-9F0F-AC7D9DCD26F8}" name="Coupon Value" dataDxfId="45" dataCellStyle="Moeda"/>
    <tableColumn id="12" xr3:uid="{2B04ABC8-DE6F-426E-ADC0-D8AFC68CA58E}" name="Total Value" dataDxfId="4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O18" sqref="O1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O296"/>
  <sheetViews>
    <sheetView zoomScale="70" zoomScaleNormal="70" workbookViewId="0">
      <selection activeCell="K19" sqref="K1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5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5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  <c r="O18" t="s">
        <v>324</v>
      </c>
    </row>
    <row r="19" spans="1:15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5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5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5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5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5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5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5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5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5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5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5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5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5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4"/>
  <sheetViews>
    <sheetView showGridLines="0" zoomScale="70" zoomScaleNormal="70" workbookViewId="0">
      <selection activeCell="C40" sqref="C40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7773437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5" x14ac:dyDescent="0.3">
      <c r="B2" s="21" t="s">
        <v>313</v>
      </c>
      <c r="C2" s="21"/>
      <c r="D2" s="21"/>
      <c r="E2" s="21"/>
    </row>
    <row r="4" spans="2:5" x14ac:dyDescent="0.3">
      <c r="B4" t="s">
        <v>318</v>
      </c>
    </row>
    <row r="5" spans="2:5" x14ac:dyDescent="0.3">
      <c r="B5" t="s">
        <v>317</v>
      </c>
    </row>
    <row r="7" spans="2:5" x14ac:dyDescent="0.3">
      <c r="B7" s="12" t="s">
        <v>16</v>
      </c>
      <c r="C7" t="s">
        <v>24</v>
      </c>
    </row>
    <row r="9" spans="2:5" x14ac:dyDescent="0.3">
      <c r="B9" s="12" t="s">
        <v>314</v>
      </c>
      <c r="C9" s="20" t="s">
        <v>316</v>
      </c>
    </row>
    <row r="10" spans="2:5" x14ac:dyDescent="0.3">
      <c r="B10" s="13" t="s">
        <v>23</v>
      </c>
      <c r="C10" s="20">
        <v>217</v>
      </c>
      <c r="D10" s="15"/>
    </row>
    <row r="11" spans="2:5" x14ac:dyDescent="0.3">
      <c r="B11" s="13" t="s">
        <v>19</v>
      </c>
      <c r="C11" s="20">
        <v>1537</v>
      </c>
    </row>
    <row r="12" spans="2:5" x14ac:dyDescent="0.3">
      <c r="B12" s="13" t="s">
        <v>315</v>
      </c>
      <c r="C12" s="20">
        <v>1754</v>
      </c>
    </row>
    <row r="15" spans="2:5" x14ac:dyDescent="0.3">
      <c r="B15" s="13" t="s">
        <v>320</v>
      </c>
    </row>
    <row r="17" spans="2:5" x14ac:dyDescent="0.3">
      <c r="B17" s="12" t="s">
        <v>16</v>
      </c>
      <c r="C17" t="s">
        <v>24</v>
      </c>
    </row>
    <row r="19" spans="2:5" x14ac:dyDescent="0.3">
      <c r="B19" s="12" t="s">
        <v>314</v>
      </c>
      <c r="C19" s="14" t="s">
        <v>319</v>
      </c>
    </row>
    <row r="20" spans="2:5" x14ac:dyDescent="0.3">
      <c r="B20" s="13" t="s">
        <v>22</v>
      </c>
      <c r="C20" s="20">
        <v>0</v>
      </c>
    </row>
    <row r="21" spans="2:5" x14ac:dyDescent="0.3">
      <c r="B21" s="13" t="s">
        <v>26</v>
      </c>
      <c r="C21" s="20">
        <v>0</v>
      </c>
      <c r="E21" s="19">
        <f>GETPIVOTDATA("EA Play Season Pass
Price",$B$19)</f>
        <v>600</v>
      </c>
    </row>
    <row r="22" spans="2:5" x14ac:dyDescent="0.3">
      <c r="B22" s="13" t="s">
        <v>18</v>
      </c>
      <c r="C22" s="20">
        <v>600</v>
      </c>
    </row>
    <row r="23" spans="2:5" x14ac:dyDescent="0.3">
      <c r="B23" s="13" t="s">
        <v>315</v>
      </c>
      <c r="C23" s="20">
        <v>600</v>
      </c>
    </row>
    <row r="26" spans="2:5" x14ac:dyDescent="0.3">
      <c r="B26" s="13" t="s">
        <v>321</v>
      </c>
    </row>
    <row r="28" spans="2:5" x14ac:dyDescent="0.3">
      <c r="B28" s="12" t="s">
        <v>16</v>
      </c>
      <c r="C28" t="s">
        <v>24</v>
      </c>
    </row>
    <row r="30" spans="2:5" x14ac:dyDescent="0.3">
      <c r="B30" s="12" t="s">
        <v>314</v>
      </c>
      <c r="C30" s="14" t="s">
        <v>322</v>
      </c>
    </row>
    <row r="31" spans="2:5" x14ac:dyDescent="0.3">
      <c r="B31" s="13" t="s">
        <v>22</v>
      </c>
      <c r="C31" s="20">
        <v>0</v>
      </c>
    </row>
    <row r="32" spans="2:5" x14ac:dyDescent="0.3">
      <c r="B32" s="13" t="s">
        <v>26</v>
      </c>
      <c r="C32" s="20">
        <v>540</v>
      </c>
    </row>
    <row r="33" spans="2:5" x14ac:dyDescent="0.3">
      <c r="B33" s="13" t="s">
        <v>18</v>
      </c>
      <c r="C33" s="20">
        <v>400</v>
      </c>
    </row>
    <row r="34" spans="2:5" x14ac:dyDescent="0.3">
      <c r="B34" s="13" t="s">
        <v>315</v>
      </c>
      <c r="C34" s="20">
        <v>940</v>
      </c>
      <c r="E34" s="19">
        <f>GETPIVOTDATA("Minecraft Season Pass Price",$B$30)</f>
        <v>940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G116"/>
  <sheetViews>
    <sheetView showGridLines="0" showRowColHeaders="0" tabSelected="1" zoomScale="80" zoomScaleNormal="80" workbookViewId="0">
      <selection activeCell="E29" sqref="E29"/>
    </sheetView>
  </sheetViews>
  <sheetFormatPr defaultRowHeight="14.4" x14ac:dyDescent="0.3"/>
  <cols>
    <col min="1" max="1" width="18" style="18" customWidth="1"/>
    <col min="2" max="2" width="4.21875" customWidth="1"/>
    <col min="12" max="12" width="6.5546875" customWidth="1"/>
    <col min="14" max="14" width="5.6640625" customWidth="1"/>
  </cols>
  <sheetData>
    <row r="1" spans="2:33" ht="19.8" customHeight="1" x14ac:dyDescent="0.3"/>
    <row r="2" spans="2:33" ht="24" customHeight="1" thickBot="1" x14ac:dyDescent="0.6">
      <c r="B2" s="16"/>
      <c r="C2" s="22" t="s">
        <v>323</v>
      </c>
      <c r="D2" s="23"/>
      <c r="E2" s="24"/>
      <c r="F2" s="24"/>
      <c r="G2" s="24"/>
      <c r="H2" s="24"/>
      <c r="I2" s="24"/>
      <c r="J2" s="24"/>
      <c r="K2" s="17"/>
      <c r="L2" s="17"/>
      <c r="M2" s="17"/>
      <c r="N2" s="17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 spans="2:33" ht="17.399999999999999" customHeight="1" thickTop="1" x14ac:dyDescent="0.3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2:33" ht="16.8" customHeight="1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2:33" ht="7.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2:33" ht="10.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2:33" ht="9.7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2:33" ht="33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2:33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2:33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2:33" ht="16.8" customHeight="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2:33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2:33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2:33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2:33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2:33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2:33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2:33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2:33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2:33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2:33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2:33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2:33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2:33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2:33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2:33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2:33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2:33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2:33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2:33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2:33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2:33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2:33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2:33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2:33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2:33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2:33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2:33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2:33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2:33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2:33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2:33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2:33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2:33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2:33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2:33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2:33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2:33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2:33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2:33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2:33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2:33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2:33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2:33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2:33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2:33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2:33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2:33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2:33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2:33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2:33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2:33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2:33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2:33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2:33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2:33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2:33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2:33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2:33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2:33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2:33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2:33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2:33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2:33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2:33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2:33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2:33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2:33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2:33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2:33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2:33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2:33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2:33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2:33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2:33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2:33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2:33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2:33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2:33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2:33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2:33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2:33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2:33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2:33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2:33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2:33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2:33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2:33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2:33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2:33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2:33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2:33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2:33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2:33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2:33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2:33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2:33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2:33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2:33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2:33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2:33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2:33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2:33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2:33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2:33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2:33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Debora Cunha</cp:lastModifiedBy>
  <dcterms:created xsi:type="dcterms:W3CDTF">2024-12-19T13:13:10Z</dcterms:created>
  <dcterms:modified xsi:type="dcterms:W3CDTF">2026-01-30T19:29:29Z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